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8b463bc6c4e8c0/Desktop/"/>
    </mc:Choice>
  </mc:AlternateContent>
  <xr:revisionPtr revIDLastSave="0" documentId="8_{806D6203-3A38-4ED4-8175-583686BF257F}" xr6:coauthVersionLast="47" xr6:coauthVersionMax="47" xr10:uidLastSave="{00000000-0000-0000-0000-000000000000}"/>
  <bookViews>
    <workbookView xWindow="-105" yWindow="0" windowWidth="16260" windowHeight="13605" xr2:uid="{4B3D351D-8C6C-4FC4-AE65-37A21B9AEB66}"/>
  </bookViews>
  <sheets>
    <sheet name="Inpu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4" i="1"/>
  <c r="B15" i="1"/>
  <c r="B13" i="1"/>
  <c r="B12" i="1"/>
  <c r="B11" i="1"/>
  <c r="B10" i="1"/>
</calcChain>
</file>

<file path=xl/sharedStrings.xml><?xml version="1.0" encoding="utf-8"?>
<sst xmlns="http://schemas.openxmlformats.org/spreadsheetml/2006/main" count="18" uniqueCount="18">
  <si>
    <t>Item</t>
  </si>
  <si>
    <t>Current Assets</t>
  </si>
  <si>
    <t>Current Liabilities</t>
  </si>
  <si>
    <t>Total Assets</t>
  </si>
  <si>
    <t>Retained Earnings</t>
  </si>
  <si>
    <t>EBIT</t>
  </si>
  <si>
    <t>Market Value of Equity</t>
  </si>
  <si>
    <t>Total Sales</t>
  </si>
  <si>
    <t>Amount (in Billions)</t>
  </si>
  <si>
    <t>Working Capital:</t>
  </si>
  <si>
    <t>X1 Ratio:</t>
  </si>
  <si>
    <t>X2 Ratio:</t>
  </si>
  <si>
    <t>X3 Ratio:</t>
  </si>
  <si>
    <t>X4 Ratio:</t>
  </si>
  <si>
    <t>X5 Ratio:</t>
  </si>
  <si>
    <t>SAFE ZONE</t>
  </si>
  <si>
    <t>Financial Condition</t>
  </si>
  <si>
    <t>Final Z-Score Output: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</si>
</sst>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&quot;£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FF9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75" fontId="0" fillId="0" borderId="1" xfId="0" applyNumberFormat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0FF9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64AC-312F-461C-ACAD-7492C890549E}">
  <dimension ref="A1:B17"/>
  <sheetViews>
    <sheetView showGridLines="0" tabSelected="1" workbookViewId="0">
      <selection activeCell="F8" sqref="F8"/>
    </sheetView>
  </sheetViews>
  <sheetFormatPr defaultRowHeight="15" x14ac:dyDescent="0.25"/>
  <cols>
    <col min="1" max="2" width="24.140625" customWidth="1"/>
  </cols>
  <sheetData>
    <row r="1" spans="1:2" s="1" customFormat="1" x14ac:dyDescent="0.25">
      <c r="A1" s="5" t="s">
        <v>0</v>
      </c>
      <c r="B1" s="5" t="s">
        <v>8</v>
      </c>
    </row>
    <row r="2" spans="1:2" x14ac:dyDescent="0.25">
      <c r="A2" s="3" t="s">
        <v>1</v>
      </c>
      <c r="B2" s="4">
        <v>50</v>
      </c>
    </row>
    <row r="3" spans="1:2" x14ac:dyDescent="0.25">
      <c r="A3" s="3" t="s">
        <v>2</v>
      </c>
      <c r="B3" s="4">
        <v>30</v>
      </c>
    </row>
    <row r="4" spans="1:2" x14ac:dyDescent="0.25">
      <c r="A4" s="3" t="s">
        <v>3</v>
      </c>
      <c r="B4" s="4">
        <v>106</v>
      </c>
    </row>
    <row r="5" spans="1:2" x14ac:dyDescent="0.25">
      <c r="A5" s="3" t="s">
        <v>4</v>
      </c>
      <c r="B5" s="4">
        <v>28</v>
      </c>
    </row>
    <row r="6" spans="1:2" x14ac:dyDescent="0.25">
      <c r="A6" s="3" t="s">
        <v>5</v>
      </c>
      <c r="B6" s="4">
        <v>9</v>
      </c>
    </row>
    <row r="7" spans="1:2" x14ac:dyDescent="0.25">
      <c r="A7" s="3" t="s">
        <v>6</v>
      </c>
      <c r="B7" s="4">
        <v>600</v>
      </c>
    </row>
    <row r="8" spans="1:2" x14ac:dyDescent="0.25">
      <c r="A8" s="3" t="s">
        <v>7</v>
      </c>
      <c r="B8" s="4">
        <v>97</v>
      </c>
    </row>
    <row r="10" spans="1:2" x14ac:dyDescent="0.25">
      <c r="A10" s="3" t="s">
        <v>9</v>
      </c>
      <c r="B10" s="6">
        <f>B2-B3</f>
        <v>20</v>
      </c>
    </row>
    <row r="11" spans="1:2" x14ac:dyDescent="0.25">
      <c r="A11" s="3" t="s">
        <v>10</v>
      </c>
      <c r="B11" s="7">
        <f>B10 / B4</f>
        <v>0.18867924528301888</v>
      </c>
    </row>
    <row r="12" spans="1:2" x14ac:dyDescent="0.25">
      <c r="A12" s="3" t="s">
        <v>11</v>
      </c>
      <c r="B12" s="7">
        <f>B5 / B4</f>
        <v>0.26415094339622641</v>
      </c>
    </row>
    <row r="13" spans="1:2" x14ac:dyDescent="0.25">
      <c r="A13" s="3" t="s">
        <v>12</v>
      </c>
      <c r="B13" s="7">
        <f>B6 / B4</f>
        <v>8.4905660377358486E-2</v>
      </c>
    </row>
    <row r="14" spans="1:2" x14ac:dyDescent="0.25">
      <c r="A14" s="3" t="s">
        <v>13</v>
      </c>
      <c r="B14" s="7">
        <f>B7 / 43</f>
        <v>13.953488372093023</v>
      </c>
    </row>
    <row r="15" spans="1:2" x14ac:dyDescent="0.25">
      <c r="A15" s="3" t="s">
        <v>14</v>
      </c>
      <c r="B15" s="7">
        <f>B8 / B4</f>
        <v>0.91509433962264153</v>
      </c>
    </row>
    <row r="16" spans="1:2" ht="15.75" x14ac:dyDescent="0.25">
      <c r="A16" s="2" t="s">
        <v>17</v>
      </c>
      <c r="B16" s="8">
        <f>(1.2*B11) + (1.4*B12) + (3.3*B13) + (0.6*B14) + (1*B15)</f>
        <v>10.163602457218076</v>
      </c>
    </row>
    <row r="17" spans="1:2" x14ac:dyDescent="0.25">
      <c r="A17" s="2" t="s">
        <v>16</v>
      </c>
      <c r="B17" s="9" t="s">
        <v>15</v>
      </c>
    </row>
  </sheetData>
  <conditionalFormatting sqref="B16">
    <cfRule type="cellIs" dxfId="0" priority="1" operator="greaterThan">
      <formula>2.99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maher almomani</dc:creator>
  <cp:lastModifiedBy>maher almomani</cp:lastModifiedBy>
  <dcterms:created xsi:type="dcterms:W3CDTF">2026-01-27T00:41:19Z</dcterms:created>
  <dcterms:modified xsi:type="dcterms:W3CDTF">2026-01-27T01:01:14Z</dcterms:modified>
</cp:coreProperties>
</file>